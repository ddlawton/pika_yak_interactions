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<sst xmlns="http://schemas.openxmlformats.org/spreadsheetml/2006/main" count="164" uniqueCount="22">
  <si>
    <t>June</t>
  </si>
  <si>
    <t>July</t>
  </si>
  <si>
    <t>August</t>
  </si>
  <si>
    <t>Relationship?</t>
  </si>
  <si>
    <t># weight gain=weight increases within each month (kg)/30day</t>
  </si>
  <si>
    <t>Weight gain (kg/yak/day)</t>
  </si>
  <si>
    <t>Average weight gain</t>
  </si>
  <si>
    <t>active burrows/ha</t>
  </si>
  <si>
    <t>weight gain</t>
  </si>
  <si>
    <t>active burrows</t>
  </si>
  <si>
    <t>Block</t>
  </si>
  <si>
    <t>Pika treatment</t>
  </si>
  <si>
    <t>Posion plant treatment</t>
  </si>
  <si>
    <t>Year</t>
  </si>
  <si>
    <t>yak_1</t>
  </si>
  <si>
    <t>yak_2</t>
  </si>
  <si>
    <t>(yak_1+2)/2</t>
  </si>
  <si>
    <t>Average</t>
  </si>
  <si>
    <t>no pika</t>
  </si>
  <si>
    <t>No S. chamaejasme</t>
  </si>
  <si>
    <t>pika</t>
  </si>
  <si>
    <t>S. chamaejasme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</si>
</sst>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</numFmts>
  <fonts count="27">
    <font>
      <sz val="11"/>
      <color theme="1"/>
      <name val="宋体"/>
      <charset val="134"/>
      <scheme val="minor"/>
    </font>
    <font>
      <sz val="12"/>
      <name val="Times New Roman"/>
      <charset val="134"/>
    </font>
    <font>
      <sz val="12"/>
      <color rgb="FFFF0000"/>
      <name val="Times New Roman"/>
      <charset val="134"/>
    </font>
    <font>
      <sz val="12"/>
      <color rgb="FFFF0000"/>
      <name val="Times New Roman"/>
      <family val="1"/>
      <charset val="0"/>
    </font>
    <font>
      <sz val="12"/>
      <name val="Times New Roman"/>
      <family val="1"/>
      <charset val="0"/>
    </font>
    <font>
      <b/>
      <sz val="11"/>
      <color rgb="FFFF0000"/>
      <name val="Times New Roman"/>
      <charset val="134"/>
    </font>
    <font>
      <sz val="11"/>
      <color theme="1"/>
      <name val="Times New Roman"/>
      <charset val="134"/>
    </font>
    <font>
      <sz val="11"/>
      <color rgb="FFFF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3" borderId="1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2">
      <alignment vertical="center"/>
    </xf>
    <xf numFmtId="0" fontId="14" fillId="0" borderId="2">
      <alignment vertical="center"/>
    </xf>
    <xf numFmtId="0" fontId="15" fillId="0" borderId="3">
      <alignment vertical="center"/>
    </xf>
    <xf numFmtId="0" fontId="15" fillId="0" borderId="0">
      <alignment vertical="center"/>
    </xf>
    <xf numFmtId="0" fontId="16" fillId="4" borderId="4">
      <alignment vertical="center"/>
    </xf>
    <xf numFmtId="0" fontId="17" fillId="5" borderId="5">
      <alignment vertical="center"/>
    </xf>
    <xf numFmtId="0" fontId="18" fillId="5" borderId="4">
      <alignment vertical="center"/>
    </xf>
    <xf numFmtId="0" fontId="19" fillId="6" borderId="6">
      <alignment vertical="center"/>
    </xf>
    <xf numFmtId="0" fontId="20" fillId="0" borderId="7">
      <alignment vertical="center"/>
    </xf>
    <xf numFmtId="0" fontId="21" fillId="0" borderId="8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6" fillId="11" borderId="0">
      <alignment vertical="center"/>
    </xf>
    <xf numFmtId="0" fontId="26" fillId="12" borderId="0">
      <alignment vertical="center"/>
    </xf>
    <xf numFmtId="0" fontId="25" fillId="13" borderId="0">
      <alignment vertical="center"/>
    </xf>
    <xf numFmtId="0" fontId="25" fillId="14" borderId="0">
      <alignment vertical="center"/>
    </xf>
    <xf numFmtId="0" fontId="26" fillId="15" borderId="0">
      <alignment vertical="center"/>
    </xf>
    <xf numFmtId="0" fontId="26" fillId="16" borderId="0">
      <alignment vertical="center"/>
    </xf>
    <xf numFmtId="0" fontId="25" fillId="17" borderId="0">
      <alignment vertical="center"/>
    </xf>
    <xf numFmtId="0" fontId="25" fillId="18" borderId="0">
      <alignment vertical="center"/>
    </xf>
    <xf numFmtId="0" fontId="26" fillId="19" borderId="0">
      <alignment vertical="center"/>
    </xf>
    <xf numFmtId="0" fontId="26" fillId="20" borderId="0">
      <alignment vertical="center"/>
    </xf>
    <xf numFmtId="0" fontId="25" fillId="21" borderId="0">
      <alignment vertical="center"/>
    </xf>
    <xf numFmtId="0" fontId="25" fillId="22" borderId="0">
      <alignment vertical="center"/>
    </xf>
    <xf numFmtId="0" fontId="26" fillId="23" borderId="0">
      <alignment vertical="center"/>
    </xf>
    <xf numFmtId="0" fontId="26" fillId="24" borderId="0">
      <alignment vertical="center"/>
    </xf>
    <xf numFmtId="0" fontId="25" fillId="25" borderId="0">
      <alignment vertical="center"/>
    </xf>
    <xf numFmtId="0" fontId="25" fillId="26" borderId="0">
      <alignment vertical="center"/>
    </xf>
    <xf numFmtId="0" fontId="26" fillId="27" borderId="0">
      <alignment vertical="center"/>
    </xf>
    <xf numFmtId="0" fontId="26" fillId="28" borderId="0">
      <alignment vertical="center"/>
    </xf>
    <xf numFmtId="0" fontId="25" fillId="29" borderId="0">
      <alignment vertical="center"/>
    </xf>
    <xf numFmtId="0" fontId="25" fillId="30" borderId="0">
      <alignment vertical="center"/>
    </xf>
    <xf numFmtId="0" fontId="26" fillId="31" borderId="0">
      <alignment vertical="center"/>
    </xf>
    <xf numFmtId="0" fontId="26" fillId="32" borderId="0">
      <alignment vertical="center"/>
    </xf>
    <xf numFmtId="0" fontId="25" fillId="33" borderId="0">
      <alignment vertical="center"/>
    </xf>
  </cellStyleXfs>
  <cellXfs count="14">
    <xf numFmtId="0" fontId="0" fillId="0" borderId="0" xfId="0" applyAlignment="1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176" fontId="1" fillId="0" borderId="0" xfId="0" applyNumberFormat="1" applyFont="1" applyFill="1" applyBorder="1" applyAlignment="1">
      <alignment vertical="center"/>
    </xf>
    <xf numFmtId="176" fontId="2" fillId="0" borderId="0" xfId="0" applyNumberFormat="1" applyFont="1" applyFill="1" applyBorder="1" applyAlignment="1">
      <alignment vertical="center"/>
    </xf>
    <xf numFmtId="176" fontId="2" fillId="2" borderId="0" xfId="0" applyNumberFormat="1" applyFont="1" applyFill="1" applyBorder="1" applyAlignment="1">
      <alignment vertical="center"/>
    </xf>
    <xf numFmtId="176" fontId="2" fillId="0" borderId="0" xfId="0" applyNumberFormat="1" applyFont="1" applyFill="1" applyBorder="1" applyAlignment="1">
      <alignment vertical="center"/>
    </xf>
    <xf numFmtId="177" fontId="2" fillId="0" borderId="0" xfId="0" applyNumberFormat="1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2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6"/>
  <sheetViews>
    <sheetView tabSelected="1" zoomScale="90" zoomScaleNormal="90" topLeftCell="K1" workbookViewId="0">
      <selection activeCell="W24" sqref="W24"/>
    </sheetView>
  </sheetViews>
  <sheetFormatPr defaultColWidth="9" defaultRowHeight="15.6"/>
  <cols>
    <col min="1" max="1" width="9.77777777777778" style="1"/>
    <col min="2" max="2" width="16.4444444444444" style="1" customWidth="1"/>
    <col min="3" max="5" width="9.77777777777778" style="1"/>
    <col min="6" max="7" width="14.2222222222222" style="1"/>
    <col min="8" max="8" width="13" style="1"/>
    <col min="9" max="21" width="14.2222222222222" style="1"/>
    <col min="22" max="22" width="12.8333333333333" style="1" customWidth="1"/>
    <col min="25" max="25" width="17.7777777777778" customWidth="1"/>
    <col min="26" max="26" width="11.8518518518519" customWidth="1"/>
  </cols>
  <sheetData>
    <row r="1" spans="4:25">
      <c r="D1" s="2"/>
      <c r="E1" s="2"/>
      <c r="F1" s="1" t="s">
        <v>0</v>
      </c>
      <c r="H1" s="1" t="s">
        <v>1</v>
      </c>
      <c r="J1" s="1" t="s">
        <v>2</v>
      </c>
      <c r="L1" s="1" t="s">
        <v>0</v>
      </c>
      <c r="M1" s="1" t="s">
        <v>1</v>
      </c>
      <c r="N1" s="1" t="s">
        <v>2</v>
      </c>
      <c r="S1" s="1" t="s">
        <v>0</v>
      </c>
      <c r="T1" s="1" t="s">
        <v>1</v>
      </c>
      <c r="U1" s="1" t="s">
        <v>2</v>
      </c>
      <c r="V1" s="2"/>
      <c r="Y1" s="11" t="s">
        <v>3</v>
      </c>
    </row>
    <row r="2" spans="1:26">
      <c r="A2" s="3" t="s">
        <v>4</v>
      </c>
      <c r="F2" s="1" t="s">
        <v>5</v>
      </c>
      <c r="H2" s="1" t="s">
        <v>5</v>
      </c>
      <c r="J2" s="1" t="s">
        <v>5</v>
      </c>
      <c r="L2" s="1" t="s">
        <v>6</v>
      </c>
      <c r="M2" s="1" t="s">
        <v>6</v>
      </c>
      <c r="N2" s="1" t="s">
        <v>6</v>
      </c>
      <c r="S2" s="1" t="s">
        <v>7</v>
      </c>
      <c r="T2" s="1" t="s">
        <v>7</v>
      </c>
      <c r="U2" s="1" t="s">
        <v>7</v>
      </c>
      <c r="Y2" s="12" t="s">
        <v>8</v>
      </c>
      <c r="Z2" s="12" t="s">
        <v>9</v>
      </c>
    </row>
    <row r="3" spans="1:26">
      <c r="A3" s="4" t="s">
        <v>10</v>
      </c>
      <c r="B3" s="4" t="s">
        <v>11</v>
      </c>
      <c r="C3" s="4" t="s">
        <v>12</v>
      </c>
      <c r="E3" s="1" t="s">
        <v>13</v>
      </c>
      <c r="F3" s="1" t="s">
        <v>14</v>
      </c>
      <c r="G3" s="1" t="s">
        <v>15</v>
      </c>
      <c r="H3" s="1" t="s">
        <v>14</v>
      </c>
      <c r="I3" s="1" t="s">
        <v>15</v>
      </c>
      <c r="J3" s="1" t="s">
        <v>14</v>
      </c>
      <c r="K3" s="1" t="s">
        <v>15</v>
      </c>
      <c r="L3" s="1" t="s">
        <v>16</v>
      </c>
      <c r="M3" s="1" t="s">
        <v>16</v>
      </c>
      <c r="N3" s="1" t="s">
        <v>16</v>
      </c>
      <c r="V3" s="8" t="s">
        <v>17</v>
      </c>
      <c r="Y3" s="13">
        <v>0.28</v>
      </c>
      <c r="Z3" s="13">
        <v>54</v>
      </c>
    </row>
    <row r="4" spans="1:26">
      <c r="A4" s="1">
        <v>1</v>
      </c>
      <c r="B4" s="4" t="s">
        <v>18</v>
      </c>
      <c r="C4" s="4" t="s">
        <v>19</v>
      </c>
      <c r="E4" s="1">
        <v>2022</v>
      </c>
      <c r="F4" s="5">
        <v>0.266666666666667</v>
      </c>
      <c r="G4" s="5">
        <v>0.233333333333333</v>
      </c>
      <c r="H4" s="5">
        <v>0.4</v>
      </c>
      <c r="I4" s="5">
        <v>0.366666666666667</v>
      </c>
      <c r="J4" s="5">
        <v>0.366666666666667</v>
      </c>
      <c r="K4" s="5">
        <v>0.433333333333333</v>
      </c>
      <c r="L4" s="5">
        <f t="shared" ref="L4:L35" si="0">AVERAGE(F4,G4)</f>
        <v>0.25</v>
      </c>
      <c r="M4" s="5">
        <f t="shared" ref="M4:M35" si="1">AVERAGE(H4,I4)</f>
        <v>0.383333333333333</v>
      </c>
      <c r="N4" s="5">
        <f t="shared" ref="N4:N35" si="2">AVERAGE(J4,K4)</f>
        <v>0.4</v>
      </c>
      <c r="P4" s="4" t="s">
        <v>18</v>
      </c>
      <c r="Q4" s="4" t="s">
        <v>19</v>
      </c>
      <c r="R4" s="1">
        <v>2022</v>
      </c>
      <c r="S4" s="1">
        <v>12</v>
      </c>
      <c r="T4" s="1">
        <v>15</v>
      </c>
      <c r="U4" s="1">
        <v>10</v>
      </c>
      <c r="V4" s="9">
        <f t="shared" ref="V4:V35" si="3">AVERAGE(S4:U4)</f>
        <v>12.3333333333333</v>
      </c>
      <c r="Y4" s="13">
        <v>0.35</v>
      </c>
      <c r="Z4" s="13">
        <v>82</v>
      </c>
    </row>
    <row r="5" spans="1:26">
      <c r="A5" s="1">
        <v>2</v>
      </c>
      <c r="B5" s="4" t="s">
        <v>18</v>
      </c>
      <c r="C5" s="4" t="s">
        <v>19</v>
      </c>
      <c r="E5" s="1">
        <v>2022</v>
      </c>
      <c r="F5" s="5">
        <v>0.3</v>
      </c>
      <c r="G5" s="5">
        <v>0.366666666666667</v>
      </c>
      <c r="H5" s="5">
        <v>0.366666666666667</v>
      </c>
      <c r="I5" s="5">
        <v>0.266666666666667</v>
      </c>
      <c r="J5" s="5">
        <v>0.4</v>
      </c>
      <c r="K5" s="5">
        <v>0.266666666666667</v>
      </c>
      <c r="L5" s="5">
        <f t="shared" si="0"/>
        <v>0.333333333333333</v>
      </c>
      <c r="M5" s="5">
        <f t="shared" si="1"/>
        <v>0.316666666666667</v>
      </c>
      <c r="N5" s="5">
        <f t="shared" si="2"/>
        <v>0.333333333333333</v>
      </c>
      <c r="P5" s="4" t="s">
        <v>18</v>
      </c>
      <c r="Q5" s="4" t="s">
        <v>19</v>
      </c>
      <c r="R5" s="1">
        <v>2022</v>
      </c>
      <c r="S5" s="1">
        <v>27</v>
      </c>
      <c r="T5" s="1">
        <v>26</v>
      </c>
      <c r="U5" s="1">
        <v>24</v>
      </c>
      <c r="V5" s="9">
        <f t="shared" si="3"/>
        <v>25.6666666666667</v>
      </c>
      <c r="Y5" s="13">
        <v>0.45</v>
      </c>
      <c r="Z5" s="13">
        <v>127</v>
      </c>
    </row>
    <row r="6" spans="1:26">
      <c r="A6" s="1">
        <v>3</v>
      </c>
      <c r="B6" s="4" t="s">
        <v>18</v>
      </c>
      <c r="C6" s="4" t="s">
        <v>19</v>
      </c>
      <c r="E6" s="1">
        <v>2022</v>
      </c>
      <c r="F6" s="5">
        <v>0.266666666666667</v>
      </c>
      <c r="G6" s="5">
        <v>0.233333333333333</v>
      </c>
      <c r="H6" s="5">
        <v>0.466666666666667</v>
      </c>
      <c r="I6" s="5">
        <v>0.4</v>
      </c>
      <c r="J6" s="5">
        <v>0.333333333333333</v>
      </c>
      <c r="K6" s="5">
        <v>0.366666666666667</v>
      </c>
      <c r="L6" s="5">
        <f t="shared" si="0"/>
        <v>0.25</v>
      </c>
      <c r="M6" s="5">
        <f t="shared" si="1"/>
        <v>0.433333333333333</v>
      </c>
      <c r="N6" s="5">
        <f t="shared" si="2"/>
        <v>0.35</v>
      </c>
      <c r="P6" s="4" t="s">
        <v>18</v>
      </c>
      <c r="Q6" s="4" t="s">
        <v>19</v>
      </c>
      <c r="R6" s="1">
        <v>2022</v>
      </c>
      <c r="S6" s="1">
        <v>39</v>
      </c>
      <c r="T6" s="1">
        <v>17</v>
      </c>
      <c r="U6" s="1">
        <v>14</v>
      </c>
      <c r="V6" s="9">
        <f t="shared" si="3"/>
        <v>23.3333333333333</v>
      </c>
      <c r="Y6" s="13">
        <v>0.3</v>
      </c>
      <c r="Z6" s="13">
        <v>95</v>
      </c>
    </row>
    <row r="7" spans="1:26">
      <c r="A7" s="1">
        <v>4</v>
      </c>
      <c r="B7" s="4" t="s">
        <v>18</v>
      </c>
      <c r="C7" s="4" t="s">
        <v>19</v>
      </c>
      <c r="E7" s="1">
        <v>2022</v>
      </c>
      <c r="F7" s="5">
        <v>0.333333333333333</v>
      </c>
      <c r="G7" s="5">
        <v>0.2</v>
      </c>
      <c r="H7" s="5">
        <v>0.5</v>
      </c>
      <c r="I7" s="5">
        <v>0.333333333333333</v>
      </c>
      <c r="J7" s="5">
        <v>0.366666666666667</v>
      </c>
      <c r="K7" s="5">
        <v>0.2</v>
      </c>
      <c r="L7" s="5">
        <f t="shared" si="0"/>
        <v>0.266666666666667</v>
      </c>
      <c r="M7" s="5">
        <f t="shared" si="1"/>
        <v>0.416666666666667</v>
      </c>
      <c r="N7" s="5">
        <f t="shared" si="2"/>
        <v>0.283333333333333</v>
      </c>
      <c r="P7" s="4" t="s">
        <v>18</v>
      </c>
      <c r="Q7" s="4" t="s">
        <v>19</v>
      </c>
      <c r="R7" s="1">
        <v>2022</v>
      </c>
      <c r="S7" s="1">
        <v>13</v>
      </c>
      <c r="T7" s="1">
        <v>16</v>
      </c>
      <c r="U7" s="1">
        <v>18</v>
      </c>
      <c r="V7" s="9">
        <f t="shared" si="3"/>
        <v>15.6666666666667</v>
      </c>
      <c r="Y7" s="13">
        <v>0.42</v>
      </c>
      <c r="Z7" s="13">
        <v>133</v>
      </c>
    </row>
    <row r="8" spans="1:26">
      <c r="A8" s="1">
        <v>1</v>
      </c>
      <c r="B8" s="4" t="s">
        <v>20</v>
      </c>
      <c r="C8" s="4" t="s">
        <v>19</v>
      </c>
      <c r="E8" s="1">
        <v>2022</v>
      </c>
      <c r="F8" s="5">
        <v>0.266666666666667</v>
      </c>
      <c r="G8" s="5">
        <v>0.166666666666667</v>
      </c>
      <c r="H8" s="5">
        <v>0.2</v>
      </c>
      <c r="I8" s="5">
        <v>0.3</v>
      </c>
      <c r="J8" s="5">
        <v>0.466666666666667</v>
      </c>
      <c r="K8" s="5">
        <v>0.266666666666667</v>
      </c>
      <c r="L8" s="5">
        <f t="shared" si="0"/>
        <v>0.216666666666667</v>
      </c>
      <c r="M8" s="5">
        <f t="shared" si="1"/>
        <v>0.25</v>
      </c>
      <c r="N8" s="5">
        <f t="shared" si="2"/>
        <v>0.366666666666667</v>
      </c>
      <c r="P8" s="4" t="s">
        <v>20</v>
      </c>
      <c r="Q8" s="4" t="s">
        <v>19</v>
      </c>
      <c r="R8" s="1">
        <v>2022</v>
      </c>
      <c r="S8" s="1">
        <v>342</v>
      </c>
      <c r="T8" s="1">
        <v>127</v>
      </c>
      <c r="U8" s="1">
        <v>269</v>
      </c>
      <c r="V8" s="9">
        <f t="shared" si="3"/>
        <v>246</v>
      </c>
      <c r="Y8" s="13">
        <v>0.38</v>
      </c>
      <c r="Z8" s="13">
        <v>156</v>
      </c>
    </row>
    <row r="9" spans="1:26">
      <c r="A9" s="1">
        <v>2</v>
      </c>
      <c r="B9" s="4" t="s">
        <v>20</v>
      </c>
      <c r="C9" s="4" t="s">
        <v>19</v>
      </c>
      <c r="E9" s="1">
        <v>2022</v>
      </c>
      <c r="F9" s="5">
        <v>0.166666666666667</v>
      </c>
      <c r="G9" s="5">
        <v>0.233333333333333</v>
      </c>
      <c r="H9" s="5">
        <v>0.3</v>
      </c>
      <c r="I9" s="5">
        <v>0.433333333333333</v>
      </c>
      <c r="J9" s="5">
        <v>0.5</v>
      </c>
      <c r="K9" s="5">
        <v>0.466666666666667</v>
      </c>
      <c r="L9" s="5">
        <f t="shared" si="0"/>
        <v>0.2</v>
      </c>
      <c r="M9" s="5">
        <f t="shared" si="1"/>
        <v>0.366666666666667</v>
      </c>
      <c r="N9" s="5">
        <f t="shared" si="2"/>
        <v>0.483333333333333</v>
      </c>
      <c r="P9" s="4" t="s">
        <v>20</v>
      </c>
      <c r="Q9" s="4" t="s">
        <v>19</v>
      </c>
      <c r="R9" s="1">
        <v>2022</v>
      </c>
      <c r="S9" s="1">
        <v>165</v>
      </c>
      <c r="T9" s="1">
        <v>103</v>
      </c>
      <c r="U9" s="1">
        <v>58</v>
      </c>
      <c r="V9" s="9">
        <f t="shared" si="3"/>
        <v>108.666666666667</v>
      </c>
      <c r="Y9" s="13">
        <v>0.35</v>
      </c>
      <c r="Z9" s="13">
        <v>329</v>
      </c>
    </row>
    <row r="10" spans="1:26">
      <c r="A10" s="1">
        <v>3</v>
      </c>
      <c r="B10" s="4" t="s">
        <v>20</v>
      </c>
      <c r="C10" s="4" t="s">
        <v>19</v>
      </c>
      <c r="E10" s="1">
        <v>2022</v>
      </c>
      <c r="F10" s="5">
        <v>0.366666666666667</v>
      </c>
      <c r="G10" s="5">
        <v>0.266666666666667</v>
      </c>
      <c r="H10" s="5">
        <v>0.433333333333333</v>
      </c>
      <c r="I10" s="5">
        <v>0.466666666666667</v>
      </c>
      <c r="J10" s="5">
        <v>0.466666666666667</v>
      </c>
      <c r="K10" s="5">
        <v>0.366666666666667</v>
      </c>
      <c r="L10" s="5">
        <f t="shared" si="0"/>
        <v>0.316666666666667</v>
      </c>
      <c r="M10" s="5">
        <f t="shared" si="1"/>
        <v>0.45</v>
      </c>
      <c r="N10" s="5">
        <f t="shared" si="2"/>
        <v>0.416666666666667</v>
      </c>
      <c r="P10" s="4" t="s">
        <v>20</v>
      </c>
      <c r="Q10" s="4" t="s">
        <v>19</v>
      </c>
      <c r="R10" s="1">
        <v>2022</v>
      </c>
      <c r="S10" s="1">
        <v>228</v>
      </c>
      <c r="T10" s="1">
        <v>141</v>
      </c>
      <c r="U10" s="1">
        <v>154</v>
      </c>
      <c r="V10" s="9">
        <f t="shared" si="3"/>
        <v>174.333333333333</v>
      </c>
      <c r="Y10" s="13">
        <v>0.37</v>
      </c>
      <c r="Z10" s="13">
        <v>352</v>
      </c>
    </row>
    <row r="11" spans="1:26">
      <c r="A11" s="1">
        <v>4</v>
      </c>
      <c r="B11" s="4" t="s">
        <v>20</v>
      </c>
      <c r="C11" s="4" t="s">
        <v>19</v>
      </c>
      <c r="E11" s="1">
        <v>2022</v>
      </c>
      <c r="F11" s="5">
        <v>0.4</v>
      </c>
      <c r="G11" s="5">
        <v>0.3</v>
      </c>
      <c r="H11" s="5">
        <v>0.466666666666667</v>
      </c>
      <c r="I11" s="5">
        <v>0.433333333333333</v>
      </c>
      <c r="J11" s="5">
        <v>0.533333333333333</v>
      </c>
      <c r="K11" s="5">
        <v>0.466666666666667</v>
      </c>
      <c r="L11" s="5">
        <f t="shared" si="0"/>
        <v>0.35</v>
      </c>
      <c r="M11" s="5">
        <f t="shared" si="1"/>
        <v>0.45</v>
      </c>
      <c r="N11" s="5">
        <f t="shared" si="2"/>
        <v>0.5</v>
      </c>
      <c r="P11" s="4" t="s">
        <v>20</v>
      </c>
      <c r="Q11" s="4" t="s">
        <v>19</v>
      </c>
      <c r="R11" s="1">
        <v>2022</v>
      </c>
      <c r="S11" s="1">
        <v>127</v>
      </c>
      <c r="T11" s="1">
        <v>143</v>
      </c>
      <c r="U11" s="1">
        <v>170</v>
      </c>
      <c r="V11" s="9">
        <f t="shared" si="3"/>
        <v>146.666666666667</v>
      </c>
      <c r="Y11" s="13">
        <v>0.43</v>
      </c>
      <c r="Z11" s="13">
        <v>216</v>
      </c>
    </row>
    <row r="12" spans="1:26">
      <c r="A12" s="1">
        <v>1</v>
      </c>
      <c r="B12" s="4" t="s">
        <v>18</v>
      </c>
      <c r="C12" s="4" t="s">
        <v>21</v>
      </c>
      <c r="E12" s="1">
        <v>2022</v>
      </c>
      <c r="F12" s="5">
        <v>0.133333333333333</v>
      </c>
      <c r="G12" s="5">
        <v>0.166666666666667</v>
      </c>
      <c r="H12" s="5">
        <v>0.2</v>
      </c>
      <c r="I12" s="5">
        <v>0.3</v>
      </c>
      <c r="J12" s="5">
        <v>0.233333333333333</v>
      </c>
      <c r="K12" s="5">
        <v>0.166666666666667</v>
      </c>
      <c r="L12" s="5">
        <f t="shared" si="0"/>
        <v>0.15</v>
      </c>
      <c r="M12" s="5">
        <f t="shared" si="1"/>
        <v>0.25</v>
      </c>
      <c r="N12" s="5">
        <f t="shared" si="2"/>
        <v>0.2</v>
      </c>
      <c r="P12" s="4" t="s">
        <v>18</v>
      </c>
      <c r="Q12" s="4" t="s">
        <v>21</v>
      </c>
      <c r="R12" s="1">
        <v>2022</v>
      </c>
      <c r="S12" s="1">
        <v>15</v>
      </c>
      <c r="T12" s="1">
        <v>6</v>
      </c>
      <c r="U12" s="1">
        <v>12</v>
      </c>
      <c r="V12" s="9">
        <f t="shared" si="3"/>
        <v>11</v>
      </c>
      <c r="Y12" s="13">
        <v>0.32</v>
      </c>
      <c r="Z12" s="13">
        <v>105</v>
      </c>
    </row>
    <row r="13" spans="1:26">
      <c r="A13" s="1">
        <v>2</v>
      </c>
      <c r="B13" s="4" t="s">
        <v>18</v>
      </c>
      <c r="C13" s="4" t="s">
        <v>21</v>
      </c>
      <c r="E13" s="1">
        <v>2022</v>
      </c>
      <c r="F13" s="5">
        <v>0.2</v>
      </c>
      <c r="G13" s="5">
        <v>0.166666666666667</v>
      </c>
      <c r="H13" s="5">
        <v>0.166666666666667</v>
      </c>
      <c r="I13" s="5">
        <v>0.266666666666667</v>
      </c>
      <c r="J13" s="5">
        <v>0.2</v>
      </c>
      <c r="K13" s="5">
        <v>0.3</v>
      </c>
      <c r="L13" s="5">
        <f t="shared" si="0"/>
        <v>0.183333333333333</v>
      </c>
      <c r="M13" s="5">
        <f t="shared" si="1"/>
        <v>0.216666666666667</v>
      </c>
      <c r="N13" s="5">
        <f t="shared" si="2"/>
        <v>0.25</v>
      </c>
      <c r="P13" s="4" t="s">
        <v>18</v>
      </c>
      <c r="Q13" s="4" t="s">
        <v>21</v>
      </c>
      <c r="R13" s="1">
        <v>2022</v>
      </c>
      <c r="S13" s="1">
        <v>19</v>
      </c>
      <c r="T13" s="1">
        <v>15</v>
      </c>
      <c r="U13" s="1">
        <v>9</v>
      </c>
      <c r="V13" s="9">
        <f t="shared" si="3"/>
        <v>14.3333333333333</v>
      </c>
      <c r="Y13" s="13">
        <v>0.35</v>
      </c>
      <c r="Z13" s="13">
        <v>110</v>
      </c>
    </row>
    <row r="14" spans="1:26">
      <c r="A14" s="1">
        <v>3</v>
      </c>
      <c r="B14" s="4" t="s">
        <v>18</v>
      </c>
      <c r="C14" s="4" t="s">
        <v>21</v>
      </c>
      <c r="E14" s="1">
        <v>2022</v>
      </c>
      <c r="F14" s="5">
        <v>0.166666666666667</v>
      </c>
      <c r="G14" s="5">
        <v>0.1</v>
      </c>
      <c r="H14" s="5">
        <v>0.233333333333333</v>
      </c>
      <c r="I14" s="5">
        <v>0.133333333333333</v>
      </c>
      <c r="J14" s="5">
        <v>0.166666666666667</v>
      </c>
      <c r="K14" s="5">
        <v>0.233333333333333</v>
      </c>
      <c r="L14" s="5">
        <f t="shared" si="0"/>
        <v>0.133333333333333</v>
      </c>
      <c r="M14" s="5">
        <f t="shared" si="1"/>
        <v>0.183333333333333</v>
      </c>
      <c r="N14" s="5">
        <f t="shared" si="2"/>
        <v>0.2</v>
      </c>
      <c r="P14" s="4" t="s">
        <v>18</v>
      </c>
      <c r="Q14" s="4" t="s">
        <v>21</v>
      </c>
      <c r="R14" s="1">
        <v>2022</v>
      </c>
      <c r="S14" s="1">
        <v>21</v>
      </c>
      <c r="T14" s="1">
        <v>23</v>
      </c>
      <c r="U14" s="1">
        <v>26</v>
      </c>
      <c r="V14" s="9">
        <f t="shared" si="3"/>
        <v>23.3333333333333</v>
      </c>
      <c r="Y14" s="13">
        <v>0.4</v>
      </c>
      <c r="Z14" s="13">
        <v>88</v>
      </c>
    </row>
    <row r="15" spans="1:26">
      <c r="A15" s="1">
        <v>4</v>
      </c>
      <c r="B15" s="4" t="s">
        <v>18</v>
      </c>
      <c r="C15" s="4" t="s">
        <v>21</v>
      </c>
      <c r="E15" s="1">
        <v>2022</v>
      </c>
      <c r="F15" s="5">
        <v>0.133333333333333</v>
      </c>
      <c r="G15" s="5">
        <v>0.2</v>
      </c>
      <c r="H15" s="5">
        <v>0.266666666666667</v>
      </c>
      <c r="I15" s="5">
        <v>0.233333333333333</v>
      </c>
      <c r="J15" s="5">
        <v>0.333333333333333</v>
      </c>
      <c r="K15" s="5">
        <v>0.2</v>
      </c>
      <c r="L15" s="5">
        <f t="shared" si="0"/>
        <v>0.166666666666667</v>
      </c>
      <c r="M15" s="5">
        <f t="shared" si="1"/>
        <v>0.25</v>
      </c>
      <c r="N15" s="5">
        <f t="shared" si="2"/>
        <v>0.266666666666667</v>
      </c>
      <c r="P15" s="4" t="s">
        <v>18</v>
      </c>
      <c r="Q15" s="4" t="s">
        <v>21</v>
      </c>
      <c r="R15" s="1">
        <v>2022</v>
      </c>
      <c r="S15" s="1">
        <v>27</v>
      </c>
      <c r="T15" s="1">
        <v>19</v>
      </c>
      <c r="U15" s="1">
        <v>13</v>
      </c>
      <c r="V15" s="9">
        <f t="shared" si="3"/>
        <v>19.6666666666667</v>
      </c>
      <c r="Y15" s="13">
        <v>0.42</v>
      </c>
      <c r="Z15" s="13">
        <v>249</v>
      </c>
    </row>
    <row r="16" spans="1:26">
      <c r="A16" s="2">
        <v>1</v>
      </c>
      <c r="B16" s="3" t="s">
        <v>20</v>
      </c>
      <c r="C16" s="3" t="s">
        <v>21</v>
      </c>
      <c r="D16" s="2"/>
      <c r="E16" s="2">
        <v>2022</v>
      </c>
      <c r="F16" s="6">
        <v>0.266666666666667</v>
      </c>
      <c r="G16" s="6">
        <v>0.3</v>
      </c>
      <c r="H16" s="6">
        <v>0.333333333333333</v>
      </c>
      <c r="I16" s="6">
        <v>0.366666666666667</v>
      </c>
      <c r="J16" s="6">
        <v>0.4</v>
      </c>
      <c r="K16" s="6">
        <v>0.5</v>
      </c>
      <c r="L16" s="7">
        <f>AVERAGE(F16,G16)</f>
        <v>0.283333333333333</v>
      </c>
      <c r="M16" s="7">
        <f t="shared" si="1"/>
        <v>0.35</v>
      </c>
      <c r="N16" s="7">
        <f t="shared" si="2"/>
        <v>0.45</v>
      </c>
      <c r="P16" s="3" t="s">
        <v>20</v>
      </c>
      <c r="Q16" s="3" t="s">
        <v>21</v>
      </c>
      <c r="R16" s="2">
        <v>2022</v>
      </c>
      <c r="S16" s="10">
        <v>54</v>
      </c>
      <c r="T16" s="10">
        <v>82</v>
      </c>
      <c r="U16" s="10">
        <v>127</v>
      </c>
      <c r="V16" s="9">
        <f t="shared" si="3"/>
        <v>87.6666666666667</v>
      </c>
      <c r="Y16" s="13">
        <v>0.3333</v>
      </c>
      <c r="Z16" s="13">
        <v>302</v>
      </c>
    </row>
    <row r="17" spans="1:26">
      <c r="A17" s="2">
        <v>2</v>
      </c>
      <c r="B17" s="3" t="s">
        <v>20</v>
      </c>
      <c r="C17" s="3" t="s">
        <v>21</v>
      </c>
      <c r="D17" s="2"/>
      <c r="E17" s="2">
        <v>2022</v>
      </c>
      <c r="F17" s="6">
        <v>0.333333333333333</v>
      </c>
      <c r="G17" s="6">
        <v>0.266666666666667</v>
      </c>
      <c r="H17" s="6">
        <v>0.366666666666667</v>
      </c>
      <c r="I17" s="6">
        <v>0.466666666666667</v>
      </c>
      <c r="J17" s="6">
        <v>0.3</v>
      </c>
      <c r="K17" s="6">
        <v>0.466666666666667</v>
      </c>
      <c r="L17" s="7">
        <f t="shared" si="0"/>
        <v>0.3</v>
      </c>
      <c r="M17" s="7">
        <f t="shared" si="1"/>
        <v>0.416666666666667</v>
      </c>
      <c r="N17" s="7">
        <f t="shared" si="2"/>
        <v>0.383333333333333</v>
      </c>
      <c r="P17" s="3" t="s">
        <v>20</v>
      </c>
      <c r="Q17" s="3" t="s">
        <v>21</v>
      </c>
      <c r="R17" s="2">
        <v>2022</v>
      </c>
      <c r="S17" s="10">
        <v>95</v>
      </c>
      <c r="T17" s="10">
        <v>133</v>
      </c>
      <c r="U17" s="10">
        <v>156</v>
      </c>
      <c r="V17" s="9">
        <f t="shared" si="3"/>
        <v>128</v>
      </c>
      <c r="Y17" s="13">
        <v>0.3833</v>
      </c>
      <c r="Z17" s="13">
        <v>283</v>
      </c>
    </row>
    <row r="18" spans="1:26">
      <c r="A18" s="2">
        <v>3</v>
      </c>
      <c r="B18" s="3" t="s">
        <v>20</v>
      </c>
      <c r="C18" s="3" t="s">
        <v>21</v>
      </c>
      <c r="D18" s="2"/>
      <c r="E18" s="2">
        <v>2022</v>
      </c>
      <c r="F18" s="6">
        <v>0.366666666666667</v>
      </c>
      <c r="G18" s="6">
        <v>0.333333333333333</v>
      </c>
      <c r="H18" s="6">
        <v>0.4</v>
      </c>
      <c r="I18" s="6">
        <v>0.333333333333333</v>
      </c>
      <c r="J18" s="6">
        <v>0.4</v>
      </c>
      <c r="K18" s="6">
        <v>0.466666666666667</v>
      </c>
      <c r="L18" s="7">
        <f t="shared" si="0"/>
        <v>0.35</v>
      </c>
      <c r="M18" s="7">
        <f t="shared" si="1"/>
        <v>0.366666666666667</v>
      </c>
      <c r="N18" s="7">
        <f t="shared" si="2"/>
        <v>0.433333333333333</v>
      </c>
      <c r="P18" s="3" t="s">
        <v>20</v>
      </c>
      <c r="Q18" s="3" t="s">
        <v>21</v>
      </c>
      <c r="R18" s="2">
        <v>2022</v>
      </c>
      <c r="S18" s="10">
        <v>329</v>
      </c>
      <c r="T18" s="10">
        <v>352</v>
      </c>
      <c r="U18" s="10">
        <v>216</v>
      </c>
      <c r="V18" s="9">
        <f t="shared" si="3"/>
        <v>299</v>
      </c>
      <c r="Y18" s="13">
        <v>0.2</v>
      </c>
      <c r="Z18" s="13">
        <v>456</v>
      </c>
    </row>
    <row r="19" spans="1:26">
      <c r="A19" s="2">
        <v>4</v>
      </c>
      <c r="B19" s="3" t="s">
        <v>20</v>
      </c>
      <c r="C19" s="3" t="s">
        <v>21</v>
      </c>
      <c r="D19" s="2"/>
      <c r="E19" s="2">
        <v>2022</v>
      </c>
      <c r="F19" s="6">
        <v>0.3</v>
      </c>
      <c r="G19" s="6">
        <v>0.333333333333333</v>
      </c>
      <c r="H19" s="6">
        <v>0.333333333333333</v>
      </c>
      <c r="I19" s="6">
        <v>0.366666666666667</v>
      </c>
      <c r="J19" s="6">
        <v>0.366666666666667</v>
      </c>
      <c r="K19" s="6">
        <v>0.433333333333333</v>
      </c>
      <c r="L19" s="7">
        <f t="shared" si="0"/>
        <v>0.316666666666667</v>
      </c>
      <c r="M19" s="7">
        <f t="shared" si="1"/>
        <v>0.35</v>
      </c>
      <c r="N19" s="7">
        <f t="shared" si="2"/>
        <v>0.4</v>
      </c>
      <c r="P19" s="3" t="s">
        <v>20</v>
      </c>
      <c r="Q19" s="3" t="s">
        <v>21</v>
      </c>
      <c r="R19" s="2">
        <v>2022</v>
      </c>
      <c r="S19" s="10">
        <v>105</v>
      </c>
      <c r="T19" s="10">
        <v>110</v>
      </c>
      <c r="U19" s="10">
        <v>88</v>
      </c>
      <c r="V19" s="9">
        <f t="shared" si="3"/>
        <v>101</v>
      </c>
      <c r="Y19" s="13">
        <v>0.2833</v>
      </c>
      <c r="Z19" s="13">
        <v>418</v>
      </c>
    </row>
    <row r="20" spans="1:26">
      <c r="A20" s="1">
        <v>1</v>
      </c>
      <c r="B20" s="4" t="s">
        <v>18</v>
      </c>
      <c r="C20" s="4" t="s">
        <v>19</v>
      </c>
      <c r="E20" s="1">
        <v>2023</v>
      </c>
      <c r="F20" s="5">
        <v>0.233333333333333</v>
      </c>
      <c r="G20" s="5">
        <v>0.2</v>
      </c>
      <c r="H20" s="5">
        <v>0.4</v>
      </c>
      <c r="I20" s="5">
        <v>0.333333333333333</v>
      </c>
      <c r="J20" s="5">
        <v>0.266666666666667</v>
      </c>
      <c r="K20" s="5">
        <v>0.433333333333333</v>
      </c>
      <c r="L20" s="5">
        <f t="shared" si="0"/>
        <v>0.216666666666667</v>
      </c>
      <c r="M20" s="5">
        <f t="shared" si="1"/>
        <v>0.366666666666667</v>
      </c>
      <c r="N20" s="5">
        <f t="shared" si="2"/>
        <v>0.35</v>
      </c>
      <c r="P20" s="4" t="s">
        <v>18</v>
      </c>
      <c r="Q20" s="4" t="s">
        <v>19</v>
      </c>
      <c r="R20" s="1">
        <v>2023</v>
      </c>
      <c r="S20" s="1">
        <v>23</v>
      </c>
      <c r="T20" s="1">
        <v>17</v>
      </c>
      <c r="U20" s="1">
        <v>13</v>
      </c>
      <c r="V20" s="9">
        <f t="shared" si="3"/>
        <v>17.6666666666667</v>
      </c>
      <c r="Y20" s="13">
        <v>0.3333</v>
      </c>
      <c r="Z20" s="13">
        <v>351</v>
      </c>
    </row>
    <row r="21" spans="1:26">
      <c r="A21" s="1">
        <v>2</v>
      </c>
      <c r="B21" s="4" t="s">
        <v>18</v>
      </c>
      <c r="C21" s="4" t="s">
        <v>19</v>
      </c>
      <c r="E21" s="1">
        <v>2023</v>
      </c>
      <c r="F21" s="5">
        <v>0.166666666666667</v>
      </c>
      <c r="G21" s="5">
        <v>0.233333333333333</v>
      </c>
      <c r="H21" s="5">
        <v>0.233333333333333</v>
      </c>
      <c r="I21" s="5">
        <v>0.3</v>
      </c>
      <c r="J21" s="5">
        <v>0.3</v>
      </c>
      <c r="K21" s="5">
        <v>0.333333333333333</v>
      </c>
      <c r="L21" s="5">
        <f t="shared" si="0"/>
        <v>0.2</v>
      </c>
      <c r="M21" s="5">
        <f t="shared" si="1"/>
        <v>0.266666666666667</v>
      </c>
      <c r="N21" s="5">
        <f t="shared" si="2"/>
        <v>0.316666666666667</v>
      </c>
      <c r="P21" s="4" t="s">
        <v>18</v>
      </c>
      <c r="Q21" s="4" t="s">
        <v>19</v>
      </c>
      <c r="R21" s="1">
        <v>2023</v>
      </c>
      <c r="S21" s="1">
        <v>19</v>
      </c>
      <c r="T21" s="1">
        <v>14</v>
      </c>
      <c r="U21" s="1">
        <v>6</v>
      </c>
      <c r="V21" s="9">
        <f t="shared" si="3"/>
        <v>13</v>
      </c>
      <c r="Y21" s="13">
        <v>0.32</v>
      </c>
      <c r="Z21" s="13">
        <v>67</v>
      </c>
    </row>
    <row r="22" spans="1:26">
      <c r="A22" s="1">
        <v>3</v>
      </c>
      <c r="B22" s="4" t="s">
        <v>18</v>
      </c>
      <c r="C22" s="4" t="s">
        <v>19</v>
      </c>
      <c r="E22" s="1">
        <v>2023</v>
      </c>
      <c r="F22" s="5">
        <v>0.333333333333333</v>
      </c>
      <c r="G22" s="5">
        <v>0.3</v>
      </c>
      <c r="H22" s="5">
        <v>0.366666666666667</v>
      </c>
      <c r="I22" s="5">
        <v>0.433333333333333</v>
      </c>
      <c r="J22" s="5">
        <v>0.3</v>
      </c>
      <c r="K22" s="5">
        <v>0.4</v>
      </c>
      <c r="L22" s="5">
        <f t="shared" si="0"/>
        <v>0.316666666666667</v>
      </c>
      <c r="M22" s="5">
        <f t="shared" si="1"/>
        <v>0.4</v>
      </c>
      <c r="N22" s="5">
        <f t="shared" si="2"/>
        <v>0.35</v>
      </c>
      <c r="P22" s="4" t="s">
        <v>18</v>
      </c>
      <c r="Q22" s="4" t="s">
        <v>19</v>
      </c>
      <c r="R22" s="1">
        <v>2023</v>
      </c>
      <c r="S22" s="1">
        <v>31</v>
      </c>
      <c r="T22" s="1">
        <v>21</v>
      </c>
      <c r="U22" s="1">
        <v>24</v>
      </c>
      <c r="V22" s="9">
        <f t="shared" si="3"/>
        <v>25.3333333333333</v>
      </c>
      <c r="Y22" s="13">
        <v>0.4167</v>
      </c>
      <c r="Z22" s="13">
        <v>112</v>
      </c>
    </row>
    <row r="23" spans="1:26">
      <c r="A23" s="1">
        <v>4</v>
      </c>
      <c r="B23" s="4" t="s">
        <v>18</v>
      </c>
      <c r="C23" s="4" t="s">
        <v>19</v>
      </c>
      <c r="E23" s="1">
        <v>2023</v>
      </c>
      <c r="F23" s="5">
        <v>0.166666666666667</v>
      </c>
      <c r="G23" s="5">
        <v>0.266666666666667</v>
      </c>
      <c r="H23" s="5">
        <v>0.2</v>
      </c>
      <c r="I23" s="5">
        <v>0.366666666666667</v>
      </c>
      <c r="J23" s="5">
        <v>0.466666666666667</v>
      </c>
      <c r="K23" s="5">
        <v>0.366666666666667</v>
      </c>
      <c r="L23" s="5">
        <f t="shared" si="0"/>
        <v>0.216666666666667</v>
      </c>
      <c r="M23" s="5">
        <f t="shared" si="1"/>
        <v>0.283333333333333</v>
      </c>
      <c r="N23" s="5">
        <f t="shared" si="2"/>
        <v>0.416666666666667</v>
      </c>
      <c r="P23" s="4" t="s">
        <v>18</v>
      </c>
      <c r="Q23" s="4" t="s">
        <v>19</v>
      </c>
      <c r="R23" s="1">
        <v>2023</v>
      </c>
      <c r="S23" s="1">
        <v>23</v>
      </c>
      <c r="T23" s="1">
        <v>35</v>
      </c>
      <c r="U23" s="1">
        <v>28</v>
      </c>
      <c r="V23" s="9">
        <f t="shared" si="3"/>
        <v>28.6666666666667</v>
      </c>
      <c r="Y23" s="13">
        <v>0.42</v>
      </c>
      <c r="Z23" s="13">
        <v>164</v>
      </c>
    </row>
    <row r="24" spans="1:26">
      <c r="A24" s="1">
        <v>1</v>
      </c>
      <c r="B24" s="4" t="s">
        <v>20</v>
      </c>
      <c r="C24" s="4" t="s">
        <v>19</v>
      </c>
      <c r="E24" s="1">
        <v>2023</v>
      </c>
      <c r="F24" s="5">
        <v>0.2</v>
      </c>
      <c r="G24" s="5">
        <v>0.233333333333333</v>
      </c>
      <c r="H24" s="5">
        <v>0.366666666666667</v>
      </c>
      <c r="I24" s="5">
        <v>0.4</v>
      </c>
      <c r="J24" s="5">
        <v>0.333333333333333</v>
      </c>
      <c r="K24" s="5">
        <v>0.266666666666667</v>
      </c>
      <c r="L24" s="5">
        <f t="shared" si="0"/>
        <v>0.216666666666667</v>
      </c>
      <c r="M24" s="5">
        <f t="shared" si="1"/>
        <v>0.383333333333333</v>
      </c>
      <c r="N24" s="5">
        <f t="shared" si="2"/>
        <v>0.3</v>
      </c>
      <c r="P24" s="4" t="s">
        <v>20</v>
      </c>
      <c r="Q24" s="4" t="s">
        <v>19</v>
      </c>
      <c r="R24" s="1">
        <v>2023</v>
      </c>
      <c r="S24" s="1">
        <v>424</v>
      </c>
      <c r="T24" s="1">
        <v>358</v>
      </c>
      <c r="U24" s="1">
        <v>306</v>
      </c>
      <c r="V24" s="9">
        <f t="shared" si="3"/>
        <v>362.666666666667</v>
      </c>
      <c r="Y24" s="13">
        <v>0.28</v>
      </c>
      <c r="Z24" s="13">
        <v>95</v>
      </c>
    </row>
    <row r="25" spans="1:26">
      <c r="A25" s="1">
        <v>2</v>
      </c>
      <c r="B25" s="4" t="s">
        <v>20</v>
      </c>
      <c r="C25" s="4" t="s">
        <v>19</v>
      </c>
      <c r="E25" s="1">
        <v>2023</v>
      </c>
      <c r="F25" s="5">
        <v>0.3</v>
      </c>
      <c r="G25" s="5">
        <v>0.366666666666667</v>
      </c>
      <c r="H25" s="5">
        <v>0.333333333333333</v>
      </c>
      <c r="I25" s="5">
        <v>0.266666666666667</v>
      </c>
      <c r="J25" s="5">
        <v>0.433333333333333</v>
      </c>
      <c r="K25" s="5">
        <v>0.4</v>
      </c>
      <c r="L25" s="5">
        <f t="shared" si="0"/>
        <v>0.333333333333333</v>
      </c>
      <c r="M25" s="5">
        <f t="shared" si="1"/>
        <v>0.3</v>
      </c>
      <c r="N25" s="5">
        <f t="shared" si="2"/>
        <v>0.416666666666667</v>
      </c>
      <c r="P25" s="4" t="s">
        <v>20</v>
      </c>
      <c r="Q25" s="4" t="s">
        <v>19</v>
      </c>
      <c r="R25" s="1">
        <v>2023</v>
      </c>
      <c r="S25" s="1">
        <v>98</v>
      </c>
      <c r="T25" s="1">
        <v>121</v>
      </c>
      <c r="U25" s="1">
        <v>256</v>
      </c>
      <c r="V25" s="9">
        <f t="shared" si="3"/>
        <v>158.333333333333</v>
      </c>
      <c r="Y25" s="13">
        <v>0.35</v>
      </c>
      <c r="Z25" s="13">
        <v>153</v>
      </c>
    </row>
    <row r="26" spans="1:26">
      <c r="A26" s="1">
        <v>3</v>
      </c>
      <c r="B26" s="4" t="s">
        <v>20</v>
      </c>
      <c r="C26" s="4" t="s">
        <v>19</v>
      </c>
      <c r="E26" s="1">
        <v>2023</v>
      </c>
      <c r="F26" s="5">
        <v>0.2</v>
      </c>
      <c r="G26" s="5">
        <v>0.233333333333333</v>
      </c>
      <c r="H26" s="5">
        <v>0.366666666666667</v>
      </c>
      <c r="I26" s="5">
        <v>0.3</v>
      </c>
      <c r="J26" s="5">
        <v>0.266666666666667</v>
      </c>
      <c r="K26" s="5">
        <v>0.233333333333333</v>
      </c>
      <c r="L26" s="5">
        <f t="shared" si="0"/>
        <v>0.216666666666667</v>
      </c>
      <c r="M26" s="5">
        <f t="shared" si="1"/>
        <v>0.333333333333333</v>
      </c>
      <c r="N26" s="5">
        <f t="shared" si="2"/>
        <v>0.25</v>
      </c>
      <c r="P26" s="4" t="s">
        <v>20</v>
      </c>
      <c r="Q26" s="4" t="s">
        <v>19</v>
      </c>
      <c r="R26" s="1">
        <v>2023</v>
      </c>
      <c r="S26" s="1">
        <v>56</v>
      </c>
      <c r="T26" s="1">
        <v>95</v>
      </c>
      <c r="U26" s="1">
        <v>41</v>
      </c>
      <c r="V26" s="9">
        <f t="shared" si="3"/>
        <v>64</v>
      </c>
      <c r="Y26" s="13">
        <v>0.4</v>
      </c>
      <c r="Z26" s="13">
        <v>204</v>
      </c>
    </row>
    <row r="27" spans="1:22">
      <c r="A27" s="1">
        <v>4</v>
      </c>
      <c r="B27" s="4" t="s">
        <v>20</v>
      </c>
      <c r="C27" s="4" t="s">
        <v>19</v>
      </c>
      <c r="E27" s="1">
        <v>2023</v>
      </c>
      <c r="F27" s="5">
        <v>0.2</v>
      </c>
      <c r="G27" s="5">
        <v>0.266666666666667</v>
      </c>
      <c r="H27" s="5">
        <v>0.4</v>
      </c>
      <c r="I27" s="5">
        <v>0.3</v>
      </c>
      <c r="J27" s="5">
        <v>0.233333333333333</v>
      </c>
      <c r="K27" s="5">
        <v>0.3</v>
      </c>
      <c r="L27" s="5">
        <f t="shared" si="0"/>
        <v>0.233333333333333</v>
      </c>
      <c r="M27" s="5">
        <f t="shared" si="1"/>
        <v>0.35</v>
      </c>
      <c r="N27" s="5">
        <f t="shared" si="2"/>
        <v>0.266666666666667</v>
      </c>
      <c r="P27" s="4" t="s">
        <v>20</v>
      </c>
      <c r="Q27" s="4" t="s">
        <v>19</v>
      </c>
      <c r="R27" s="1">
        <v>2023</v>
      </c>
      <c r="S27" s="1">
        <v>64</v>
      </c>
      <c r="T27" s="1">
        <v>132</v>
      </c>
      <c r="U27" s="1">
        <v>99</v>
      </c>
      <c r="V27" s="9">
        <f t="shared" si="3"/>
        <v>98.3333333333333</v>
      </c>
    </row>
    <row r="28" spans="1:22">
      <c r="A28" s="1">
        <v>1</v>
      </c>
      <c r="B28" s="4" t="s">
        <v>18</v>
      </c>
      <c r="C28" s="4" t="s">
        <v>21</v>
      </c>
      <c r="E28" s="1">
        <v>2023</v>
      </c>
      <c r="F28" s="5">
        <v>0.133333333333333</v>
      </c>
      <c r="G28" s="5">
        <v>0.2</v>
      </c>
      <c r="H28" s="5">
        <v>0.333333333333333</v>
      </c>
      <c r="I28" s="5">
        <v>0.233333333333333</v>
      </c>
      <c r="J28" s="5">
        <v>0.266666666666667</v>
      </c>
      <c r="K28" s="5">
        <v>0.3</v>
      </c>
      <c r="L28" s="5">
        <f t="shared" si="0"/>
        <v>0.166666666666667</v>
      </c>
      <c r="M28" s="5">
        <f t="shared" si="1"/>
        <v>0.283333333333333</v>
      </c>
      <c r="N28" s="5">
        <f t="shared" si="2"/>
        <v>0.283333333333333</v>
      </c>
      <c r="P28" s="4" t="s">
        <v>18</v>
      </c>
      <c r="Q28" s="4" t="s">
        <v>21</v>
      </c>
      <c r="R28" s="1">
        <v>2023</v>
      </c>
      <c r="S28" s="1">
        <v>19</v>
      </c>
      <c r="T28" s="1">
        <v>7</v>
      </c>
      <c r="U28" s="1">
        <v>10</v>
      </c>
      <c r="V28" s="9">
        <f t="shared" si="3"/>
        <v>12</v>
      </c>
    </row>
    <row r="29" spans="1:22">
      <c r="A29" s="1">
        <v>2</v>
      </c>
      <c r="B29" s="4" t="s">
        <v>18</v>
      </c>
      <c r="C29" s="4" t="s">
        <v>21</v>
      </c>
      <c r="E29" s="1">
        <v>2023</v>
      </c>
      <c r="F29" s="5">
        <v>0.1</v>
      </c>
      <c r="G29" s="5">
        <v>0.1</v>
      </c>
      <c r="H29" s="5">
        <v>0.233333333333333</v>
      </c>
      <c r="I29" s="5">
        <v>0.2</v>
      </c>
      <c r="J29" s="5">
        <v>0.233333333333333</v>
      </c>
      <c r="K29" s="5">
        <v>0.133333333333333</v>
      </c>
      <c r="L29" s="5">
        <f t="shared" si="0"/>
        <v>0.1</v>
      </c>
      <c r="M29" s="5">
        <f t="shared" si="1"/>
        <v>0.216666666666667</v>
      </c>
      <c r="N29" s="5">
        <f t="shared" si="2"/>
        <v>0.183333333333333</v>
      </c>
      <c r="P29" s="4" t="s">
        <v>18</v>
      </c>
      <c r="Q29" s="4" t="s">
        <v>21</v>
      </c>
      <c r="R29" s="1">
        <v>2023</v>
      </c>
      <c r="S29" s="1">
        <v>26</v>
      </c>
      <c r="T29" s="1">
        <v>35</v>
      </c>
      <c r="U29" s="1">
        <v>26</v>
      </c>
      <c r="V29" s="9">
        <f t="shared" si="3"/>
        <v>29</v>
      </c>
    </row>
    <row r="30" spans="1:22">
      <c r="A30" s="1">
        <v>3</v>
      </c>
      <c r="B30" s="4" t="s">
        <v>18</v>
      </c>
      <c r="C30" s="4" t="s">
        <v>21</v>
      </c>
      <c r="E30" s="1">
        <v>2023</v>
      </c>
      <c r="F30" s="5">
        <v>0.2</v>
      </c>
      <c r="G30" s="5">
        <v>0.166666666666667</v>
      </c>
      <c r="H30" s="5">
        <v>0.2</v>
      </c>
      <c r="I30" s="5">
        <v>0.266666666666667</v>
      </c>
      <c r="J30" s="5">
        <v>0.366666666666667</v>
      </c>
      <c r="K30" s="5">
        <v>0.2</v>
      </c>
      <c r="L30" s="5">
        <f t="shared" si="0"/>
        <v>0.183333333333333</v>
      </c>
      <c r="M30" s="5">
        <f t="shared" si="1"/>
        <v>0.233333333333333</v>
      </c>
      <c r="N30" s="5">
        <f t="shared" si="2"/>
        <v>0.283333333333333</v>
      </c>
      <c r="P30" s="4" t="s">
        <v>18</v>
      </c>
      <c r="Q30" s="4" t="s">
        <v>21</v>
      </c>
      <c r="R30" s="1">
        <v>2023</v>
      </c>
      <c r="S30" s="1">
        <v>12</v>
      </c>
      <c r="T30" s="1">
        <v>24</v>
      </c>
      <c r="U30" s="1">
        <v>28</v>
      </c>
      <c r="V30" s="9">
        <f t="shared" si="3"/>
        <v>21.3333333333333</v>
      </c>
    </row>
    <row r="31" spans="1:22">
      <c r="A31" s="1">
        <v>4</v>
      </c>
      <c r="B31" s="4" t="s">
        <v>18</v>
      </c>
      <c r="C31" s="4" t="s">
        <v>21</v>
      </c>
      <c r="E31" s="1">
        <v>2023</v>
      </c>
      <c r="F31" s="5">
        <v>0.133333333333333</v>
      </c>
      <c r="G31" s="5">
        <v>0.0666666666666667</v>
      </c>
      <c r="H31" s="5">
        <v>0.266666666666667</v>
      </c>
      <c r="I31" s="5">
        <v>0.166666666666667</v>
      </c>
      <c r="J31" s="5">
        <v>0.433333333333333</v>
      </c>
      <c r="K31" s="5">
        <v>0.4</v>
      </c>
      <c r="L31" s="5">
        <f t="shared" si="0"/>
        <v>0.1</v>
      </c>
      <c r="M31" s="5">
        <f t="shared" si="1"/>
        <v>0.216666666666667</v>
      </c>
      <c r="N31" s="5">
        <f t="shared" si="2"/>
        <v>0.416666666666667</v>
      </c>
      <c r="P31" s="4" t="s">
        <v>18</v>
      </c>
      <c r="Q31" s="4" t="s">
        <v>21</v>
      </c>
      <c r="R31" s="1">
        <v>2023</v>
      </c>
      <c r="S31" s="1">
        <v>11</v>
      </c>
      <c r="T31" s="1">
        <v>9</v>
      </c>
      <c r="U31" s="1">
        <v>15</v>
      </c>
      <c r="V31" s="9">
        <f t="shared" si="3"/>
        <v>11.6666666666667</v>
      </c>
    </row>
    <row r="32" spans="1:22">
      <c r="A32" s="2">
        <v>1</v>
      </c>
      <c r="B32" s="3" t="s">
        <v>20</v>
      </c>
      <c r="C32" s="3" t="s">
        <v>21</v>
      </c>
      <c r="D32" s="2"/>
      <c r="E32" s="2">
        <v>2023</v>
      </c>
      <c r="F32" s="6">
        <v>0.4</v>
      </c>
      <c r="G32" s="6">
        <v>0.433333333333333</v>
      </c>
      <c r="H32" s="6">
        <v>0.233333333333333</v>
      </c>
      <c r="I32" s="6">
        <v>0.433333333333333</v>
      </c>
      <c r="J32" s="6">
        <v>0.4</v>
      </c>
      <c r="K32" s="6">
        <v>0.366666666666667</v>
      </c>
      <c r="L32" s="7">
        <f t="shared" si="0"/>
        <v>0.416666666666667</v>
      </c>
      <c r="M32" s="7">
        <f t="shared" si="1"/>
        <v>0.333333333333333</v>
      </c>
      <c r="N32" s="7">
        <f t="shared" si="2"/>
        <v>0.383333333333333</v>
      </c>
      <c r="O32" s="2"/>
      <c r="P32" s="3" t="s">
        <v>20</v>
      </c>
      <c r="Q32" s="3" t="s">
        <v>21</v>
      </c>
      <c r="R32" s="2">
        <v>2023</v>
      </c>
      <c r="S32" s="10">
        <v>249</v>
      </c>
      <c r="T32" s="10">
        <v>302</v>
      </c>
      <c r="U32" s="10">
        <v>283</v>
      </c>
      <c r="V32" s="9">
        <f t="shared" si="3"/>
        <v>278</v>
      </c>
    </row>
    <row r="33" spans="1:22">
      <c r="A33" s="2">
        <v>2</v>
      </c>
      <c r="B33" s="3" t="s">
        <v>20</v>
      </c>
      <c r="C33" s="3" t="s">
        <v>21</v>
      </c>
      <c r="D33" s="2"/>
      <c r="E33" s="2">
        <v>2023</v>
      </c>
      <c r="F33" s="6">
        <v>0.166666666666667</v>
      </c>
      <c r="G33" s="6">
        <v>0.233333333333333</v>
      </c>
      <c r="H33" s="6">
        <v>0.3</v>
      </c>
      <c r="I33" s="6">
        <v>0.266666666666667</v>
      </c>
      <c r="J33" s="6">
        <v>0.333333333333333</v>
      </c>
      <c r="K33" s="6">
        <v>0.333333333333333</v>
      </c>
      <c r="L33" s="7">
        <f t="shared" si="0"/>
        <v>0.2</v>
      </c>
      <c r="M33" s="7">
        <f t="shared" si="1"/>
        <v>0.283333333333333</v>
      </c>
      <c r="N33" s="7">
        <f t="shared" si="2"/>
        <v>0.333333333333333</v>
      </c>
      <c r="O33" s="2"/>
      <c r="P33" s="3" t="s">
        <v>20</v>
      </c>
      <c r="Q33" s="3" t="s">
        <v>21</v>
      </c>
      <c r="R33" s="2">
        <v>2023</v>
      </c>
      <c r="S33" s="10">
        <v>456</v>
      </c>
      <c r="T33" s="10">
        <v>418</v>
      </c>
      <c r="U33" s="10">
        <v>351</v>
      </c>
      <c r="V33" s="9">
        <f t="shared" si="3"/>
        <v>408.333333333333</v>
      </c>
    </row>
    <row r="34" spans="1:22">
      <c r="A34" s="2">
        <v>3</v>
      </c>
      <c r="B34" s="3" t="s">
        <v>20</v>
      </c>
      <c r="C34" s="3" t="s">
        <v>21</v>
      </c>
      <c r="D34" s="2"/>
      <c r="E34" s="2">
        <v>2023</v>
      </c>
      <c r="F34" s="6">
        <v>0.3</v>
      </c>
      <c r="G34" s="6">
        <v>0.333333333333333</v>
      </c>
      <c r="H34" s="6">
        <v>0.433333333333333</v>
      </c>
      <c r="I34" s="6">
        <v>0.4</v>
      </c>
      <c r="J34" s="6">
        <v>0.5</v>
      </c>
      <c r="K34" s="6">
        <v>0.333333333333333</v>
      </c>
      <c r="L34" s="7">
        <f t="shared" si="0"/>
        <v>0.316666666666667</v>
      </c>
      <c r="M34" s="7">
        <f t="shared" si="1"/>
        <v>0.416666666666667</v>
      </c>
      <c r="N34" s="7">
        <f t="shared" si="2"/>
        <v>0.416666666666667</v>
      </c>
      <c r="O34" s="2"/>
      <c r="P34" s="3" t="s">
        <v>20</v>
      </c>
      <c r="Q34" s="3" t="s">
        <v>21</v>
      </c>
      <c r="R34" s="2">
        <v>2023</v>
      </c>
      <c r="S34" s="10">
        <v>67</v>
      </c>
      <c r="T34" s="10">
        <v>112</v>
      </c>
      <c r="U34" s="10">
        <v>164</v>
      </c>
      <c r="V34" s="9">
        <f t="shared" si="3"/>
        <v>114.333333333333</v>
      </c>
    </row>
    <row r="35" spans="1:22">
      <c r="A35" s="2">
        <v>4</v>
      </c>
      <c r="B35" s="3" t="s">
        <v>20</v>
      </c>
      <c r="C35" s="3" t="s">
        <v>21</v>
      </c>
      <c r="D35" s="2"/>
      <c r="E35" s="2">
        <v>2023</v>
      </c>
      <c r="F35" s="6">
        <v>0.266666666666667</v>
      </c>
      <c r="G35" s="6">
        <v>0.3</v>
      </c>
      <c r="H35" s="6">
        <v>0.333333333333333</v>
      </c>
      <c r="I35" s="6">
        <v>0.366666666666667</v>
      </c>
      <c r="J35" s="6">
        <v>0.4</v>
      </c>
      <c r="K35" s="6">
        <v>0.4</v>
      </c>
      <c r="L35" s="7">
        <f t="shared" si="0"/>
        <v>0.283333333333333</v>
      </c>
      <c r="M35" s="7">
        <f t="shared" si="1"/>
        <v>0.35</v>
      </c>
      <c r="N35" s="7">
        <f t="shared" si="2"/>
        <v>0.4</v>
      </c>
      <c r="O35" s="2"/>
      <c r="P35" s="3" t="s">
        <v>20</v>
      </c>
      <c r="Q35" s="3" t="s">
        <v>21</v>
      </c>
      <c r="R35" s="2">
        <v>2023</v>
      </c>
      <c r="S35" s="10">
        <v>95</v>
      </c>
      <c r="T35" s="10">
        <v>153</v>
      </c>
      <c r="U35" s="10">
        <v>204</v>
      </c>
      <c r="V35" s="9">
        <f t="shared" si="3"/>
        <v>150.666666666667</v>
      </c>
    </row>
    <row r="36" spans="19:21">
      <c r="S36" s="6"/>
      <c r="T36" s="6"/>
      <c r="U36" s="6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Zhiwei Zhong</cp:lastModifiedBy>
  <dcterms:created xsi:type="dcterms:W3CDTF">2023-05-12T11:15:00Z</dcterms:created>
  <dcterms:modified xsi:type="dcterms:W3CDTF">2025-10-02T03:29:15Z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AA2D2C22139F42EC8CE0405DD328914B_12</vt:lpwstr>
  </property>
</Properties>
</file>